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ll of Material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<sst xmlns="http://schemas.openxmlformats.org/spreadsheetml/2006/main" count="129" uniqueCount="100">
  <si>
    <t xml:space="preserve">Orbigator PCB v2  —  Bill of Materials</t>
  </si>
  <si>
    <t xml:space="preserve">Project: wyolum/orbigator  |  Schematic: orbigator.kicad_sch (PCB_v2)  |  Rev: v2  |  Date: 2026-03-15  |  Company: WyoLum</t>
  </si>
  <si>
    <t xml:space="preserve">No.</t>
  </si>
  <si>
    <t xml:space="preserve">Reference ID</t>
  </si>
  <si>
    <t xml:space="preserve">Description</t>
  </si>
  <si>
    <t xml:space="preserve">Qty</t>
  </si>
  <si>
    <t xml:space="preserve">JLCPCB Link</t>
  </si>
  <si>
    <t xml:space="preserve">LCSC Link</t>
  </si>
  <si>
    <t xml:space="preserve">Alternate Link</t>
  </si>
  <si>
    <t xml:space="preserve">Notes</t>
  </si>
  <si>
    <t xml:space="preserve">U1</t>
  </si>
  <si>
    <t xml:space="preserve">Raspberry Pi Pico 2 (RP2350) — dual-core Arm/RISC-V, 520 kB SRAM, 4 MB Flash.
Symbol: RaspberryPi_Pico_DebugPins  |  Footprint: Pico_Original_SMD_HandSolder</t>
  </si>
  <si>
    <t xml:space="preserve">https://jlcpcb.com/partdetail/RaspberryPi-SC0918/C5292441</t>
  </si>
  <si>
    <t xml:space="preserve">—</t>
  </si>
  <si>
    <t xml:space="preserve">https://www.adafruit.com/product/6087</t>
  </si>
  <si>
    <t xml:space="preserve">LCSC does not stock Raspberry Pi modules. Adafruit link is for the Pico 2W (WiFi/BT); use SC0918 for plain Pico 2.</t>
  </si>
  <si>
    <t xml:space="preserve">U2</t>
  </si>
  <si>
    <t xml:space="preserve">SN74HC126N — Quad Bus Buffer, 3-State Outputs, 5 V, DIP-14.
Half-duplex UART direction control for DYNAMIXEL DATA bus.</t>
  </si>
  <si>
    <t xml:space="preserve">https://jlcpcb.com/partdetail/TexasInstruments-SN74HC126N/C7835</t>
  </si>
  <si>
    <t xml:space="preserve">https://www.lcsc.com/product-detail/C10422.html</t>
  </si>
  <si>
    <t xml:space="preserve">HC (CMOS) variant preferred over LS for 3.3 V logic compatibility.</t>
  </si>
  <si>
    <t xml:space="preserve">U3</t>
  </si>
  <si>
    <t xml:space="preserve">DS3232MZ/V+ — ±5 ppm I²C Real-Time Clock with TCXO + SRAM, SOIC-8.
Footprint: SOIC-8_3.9x4.9mm_P1.27mm  |  I²C addr 0x68, 3.3 V</t>
  </si>
  <si>
    <t xml:space="preserve">https://jlcpcb.com/partdetail/Maxim_Integrated-DS3232MZ/C141242</t>
  </si>
  <si>
    <t xml:space="preserve">https://www.lcsc.com/product-detail/C143316.html</t>
  </si>
  <si>
    <t xml:space="preserve">https://www.dfrobot.com/product-2304.html</t>
  </si>
  <si>
    <t xml:space="preserve">DFRobot link is a pre-assembled Gravity module — easier for prototyping.</t>
  </si>
  <si>
    <t xml:space="preserve">DISP1</t>
  </si>
  <si>
    <t xml:space="preserve">OLED + Rotary Encoder combo module — 128×64 SH1106/SSD1306 OLED
with EC11 encoder + BACK &amp; CONFIRM push-buttons. Custom 9-pin footprint.</t>
  </si>
  <si>
    <t xml:space="preserve">https://www.crcibernetica.com/i2c-oled-display-with-ec11-rotary-encoder/</t>
  </si>
  <si>
    <t xml:space="preserve">Not available on JLCPCB or LCSC — assembled module only. Search: 'SSD1306 OLED encoder module 128x64'.</t>
  </si>
  <si>
    <t xml:space="preserve">Q1</t>
  </si>
  <si>
    <t xml:space="preserve">DMG2305UX-7 — P-Channel Enhancement MOSFET, 20 V, 4.2 A, SOT-23.
Footprint: SOT-23  |  Power switching on 5 V rail.</t>
  </si>
  <si>
    <t xml:space="preserve">https://jlcpcb.com/partdetail/Diodes_Incorporated-DMG2305UX/C15127</t>
  </si>
  <si>
    <t xml:space="preserve">https://www.lcsc.com/product-detail/C150470.html</t>
  </si>
  <si>
    <t xml:space="preserve">D1</t>
  </si>
  <si>
    <t xml:space="preserve">B130-13-F — Schottky Barrier Diode, 30 V, 1 A, SMA (DO-214AC).
Footprint: D_SMA  |  Reverse-polarity / flyback protection.</t>
  </si>
  <si>
    <t xml:space="preserve">https://jlcpcb.com/partdetail/onsemi-B130-13-F/C181529</t>
  </si>
  <si>
    <t xml:space="preserve">https://www.lcsc.com/product-detail/C134423.html</t>
  </si>
  <si>
    <t xml:space="preserve">J1</t>
  </si>
  <si>
    <t xml:space="preserve">DC Barrel Jack with internal switch — 5.5 mm / 2.1 mm, PCB-mount, 3-pin.
Main 5 V 4–5 A power input connector.</t>
  </si>
  <si>
    <t xml:space="preserve">https://jlcpcb.com/partdetail/XKB_Enterprise-DC_044A/C381116</t>
  </si>
  <si>
    <t xml:space="preserve">https://www.lcsc.com/product-detail/C381116.html</t>
  </si>
  <si>
    <t xml:space="preserve">Same XKB part (C381116) stocked on both JLCPCB and LCSC.</t>
  </si>
  <si>
    <t xml:space="preserve">BT1</t>
  </si>
  <si>
    <t xml:space="preserve">CR2032 coin-cell holder — 3 V RTC backup for DS3232M VBAT pin.
SMD or through-hole variant depending on footprint chosen.</t>
  </si>
  <si>
    <t xml:space="preserve">https://jlcpcb.com/partdetail/Keystone_Electronics-3034/C70069</t>
  </si>
  <si>
    <t xml:space="preserve">https://www.lcsc.com/product-detail/C70377.html</t>
  </si>
  <si>
    <t xml:space="preserve">https://jlcpcb.com/partdetail/Panasonic-EECF5R5U474/C134767</t>
  </si>
  <si>
    <t xml:space="preserve">LCSC link is Q&amp;J SMD holder (C70377). Alternate is a 0.47 F / 5.5 V supercap — populate R4 (47 Ω) if using supercap instead.</t>
  </si>
  <si>
    <t xml:space="preserve">R1</t>
  </si>
  <si>
    <t xml:space="preserve">Resistor 10 kΩ, 0805, ±1%, 1/8 W  (Yageo RC0805FR-0710KL).
DATA bus pull-up to +5 V — required for DYNAMIXEL TTL communication.</t>
  </si>
  <si>
    <t xml:space="preserve">https://jlcpcb.com/partdetail/Yageo-RC0805FR_0710KL/C96346</t>
  </si>
  <si>
    <t xml:space="preserve">https://www.lcsc.com/product-detail/C84376.html</t>
  </si>
  <si>
    <t xml:space="preserve">Same part as R5. Order qty 2.</t>
  </si>
  <si>
    <t xml:space="preserve">R2</t>
  </si>
  <si>
    <t xml:space="preserve">Resistor 4.7 kΩ, 0805, ±1%, 1/8 W  (Yageo RC0805FR-074K7L).
I²C SDA pull-up to +3.3 V.</t>
  </si>
  <si>
    <t xml:space="preserve">https://jlcpcb.com/partdetail/Yageo-RC0805FR_074K7L/C23162</t>
  </si>
  <si>
    <t xml:space="preserve">https://www.lcsc.com/product-detail/C60816.html</t>
  </si>
  <si>
    <t xml:space="preserve">Same part as R3. Order qty 2.</t>
  </si>
  <si>
    <t xml:space="preserve">R3</t>
  </si>
  <si>
    <t xml:space="preserve">Resistor 4.7 kΩ, 0805, ±1%, 1/8 W  (Yageo RC0805FR-074K7L).
I²C SCL pull-up to +3.3 V.</t>
  </si>
  <si>
    <t xml:space="preserve">Same part as R2. Order qty 2.</t>
  </si>
  <si>
    <t xml:space="preserve">R4</t>
  </si>
  <si>
    <t xml:space="preserve">Resistor 47 Ω, 0805, ±5%, 1/8 W  (Yageo RC0805JR-0747RL).
Supercapacitor charge-limiting resistor on DS3232M VBAT pin.</t>
  </si>
  <si>
    <t xml:space="preserve">https://jlcpcb.com/partdetail/Yageo-RC0805JR_0747RL/C92717</t>
  </si>
  <si>
    <t xml:space="preserve">https://www.lcsc.com/product-detail/C114743.html</t>
  </si>
  <si>
    <t xml:space="preserve">DNP if using CR2032 for BT1. Only populate when using supercapacitor.</t>
  </si>
  <si>
    <t xml:space="preserve">R5</t>
  </si>
  <si>
    <t xml:space="preserve">Resistor 10 kΩ, 0805, ±1%, 1/8 W  (Yageo RC0805FR-0710KL).
Gate pull-up for P-MOSFET Q1 (DMG2305UX).</t>
  </si>
  <si>
    <t xml:space="preserve">Same part as R1. Order qty 2.</t>
  </si>
  <si>
    <t xml:space="preserve">C1</t>
  </si>
  <si>
    <t xml:space="preserve">Capacitor 100 nF, 0805, X7R, 25 V  (Samsung CL21B104KBCNNNC).
Bypass / decoupling on 5 V rail.</t>
  </si>
  <si>
    <t xml:space="preserve">https://jlcpcb.com/partdetail/Samsung-CL21B104KACNNNC/C1756</t>
  </si>
  <si>
    <t xml:space="preserve">https://www.lcsc.com/product-detail/C1711.html</t>
  </si>
  <si>
    <t xml:space="preserve">Same part as C2 and C4. Order qty 3.</t>
  </si>
  <si>
    <t xml:space="preserve">C2</t>
  </si>
  <si>
    <t xml:space="preserve">Capacitor 100 nF, 0805, X7R, 25 V  (Samsung CL21B104KBCNNNC).
Bypass / decoupling on 3.3 V rail.</t>
  </si>
  <si>
    <t xml:space="preserve">Same part as C1 and C4. Order qty 3.</t>
  </si>
  <si>
    <t xml:space="preserve">C3</t>
  </si>
  <si>
    <t xml:space="preserve">Capacitor 10 µF, 0805, X5R, 25 V  (Samsung CL21A106KAYNNNE).
Bulk decoupling on 3.3 V rail (DS3232M VCC).</t>
  </si>
  <si>
    <t xml:space="preserve">https://jlcpcb.com/partdetail/Samsung-CL21A106KAYNNNE/C15850</t>
  </si>
  <si>
    <t xml:space="preserve">https://www.lcsc.com/product-detail/C15850.html</t>
  </si>
  <si>
    <t xml:space="preserve">C4</t>
  </si>
  <si>
    <t xml:space="preserve">Capacitor 100 nF, 0805, X7R, 25 V  (Samsung CL21B104KBCNNNC).
Bypass on DS3232M VCC pin.</t>
  </si>
  <si>
    <t xml:space="preserve">Same part as C1 and C2. Order qty 3.</t>
  </si>
  <si>
    <t xml:space="preserve">J2–J26
(25 pads)</t>
  </si>
  <si>
    <t xml:space="preserve">Single-pin through-hole breakout pad — Conn_01x01.
Pico GPIO, GND, 3V3, VSYS, VBUS, ADC breakout points. 1 mm drill.</t>
  </si>
  <si>
    <t xml:space="preserve">https://jlcpcb.com/partdetail/BOOMELE_Boom_Precision_Elec-C49661/C49661</t>
  </si>
  <si>
    <t xml:space="preserve">https://www.lcsc.com/product-detail/C5156619.html</t>
  </si>
  <si>
    <t xml:space="preserve">1×40 strip — cut to length. Pads can also be left unpopulated.</t>
  </si>
  <si>
    <t xml:space="preserve">J27</t>
  </si>
  <si>
    <t xml:space="preserve">Connector 1×3, 2.54 mm pitch, through-hole — Conn_01x03.
Motor connector or SWD debug port (SWCLK / GND / SWDIO).</t>
  </si>
  <si>
    <t xml:space="preserve">https://jlcpcb.com/partdetail/JST_Sales-B3B_PH_K_S/C131337</t>
  </si>
  <si>
    <t xml:space="preserve">JLCPCB link is JST PH 3-pin (matches DYNAMIXEL cable). Alternate is plain 2.54 mm header. No direct JST PH equivalent on LCSC — use generic 3-pin 2.54 mm.</t>
  </si>
  <si>
    <t xml:space="preserve">J28</t>
  </si>
  <si>
    <t xml:space="preserve">Connector 1×7, 2.54 mm pitch, through-hole — Conn_01x07.
Pico expansion / breakout header.</t>
  </si>
  <si>
    <t xml:space="preserve">1×40 strip — cut 7 pins.</t>
  </si>
  <si>
    <t xml:space="preserve">Total unique line items: 20</t>
  </si>
  <si>
    <t xml:space="preserve">Source: orbigator.kicad_sch (PCB_v2). LCSC C-numbers verified March 2026. Verify stock before ordering.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</si>
</sst>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i val="true"/>
      <sz val="9"/>
      <color rgb="FFAAAAAA"/>
      <name val="Arial"/>
      <family val="0"/>
      <charset val="1"/>
    </font>
    <font>
      <i val="true"/>
      <sz val="9"/>
      <color rgb="FF5C3317"/>
      <name val="Arial"/>
      <family val="0"/>
      <charset val="1"/>
    </font>
    <font>
      <i val="true"/>
      <sz val="9"/>
      <color rgb="FFFFFFFF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D1F4E"/>
        <bgColor rgb="FF1F3864"/>
      </patternFill>
    </fill>
    <fill>
      <patternFill patternType="solid">
        <fgColor rgb="FFEEF2FF"/>
        <bgColor rgb="FFFFFFFF"/>
      </patternFill>
    </fill>
    <fill>
      <patternFill patternType="solid">
        <fgColor rgb="FF1F3864"/>
        <bgColor rgb="FF333399"/>
      </patternFill>
    </fill>
    <fill>
      <patternFill patternType="solid">
        <fgColor rgb="FFD9E1F2"/>
        <bgColor rgb="FFEEF2FF"/>
      </patternFill>
    </fill>
    <fill>
      <patternFill patternType="solid">
        <fgColor rgb="FFFFF2CC"/>
        <bgColor rgb="FFEEF2FF"/>
      </patternFill>
    </fill>
    <fill>
      <patternFill patternType="solid">
        <fgColor rgb="FFFFFFFF"/>
        <bgColor rgb="FFEEF2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D1F4E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EEF2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F3864"/>
      <rgbColor rgb="FF339966"/>
      <rgbColor rgb="FF003300"/>
      <rgbColor rgb="FF5C3317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296875" defaultRowHeight="15" customHeight="tru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5"/>
    <col collapsed="false" customWidth="true" hidden="false" outlineLevel="0" max="6" min="5" style="0" width="36"/>
    <col collapsed="false" customWidth="true" hidden="false" outlineLevel="0" max="7" min="7" style="0" width="34"/>
    <col collapsed="false" customWidth="true" hidden="false" outlineLevel="0" max="8" min="8" style="0" width="36"/>
    <col collapsed="false" customWidth="true" hidden="false" outlineLevel="0" max="11" min="9" style="0" width="8.71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49.5" hidden="false" customHeight="true" outlineLevel="0" collapsed="false">
      <c r="A4" s="4" t="n">
        <v>1</v>
      </c>
      <c r="B4" s="4" t="s">
        <v>10</v>
      </c>
      <c r="C4" s="5" t="s">
        <v>11</v>
      </c>
      <c r="D4" s="4" t="n">
        <v>1</v>
      </c>
      <c r="E4" s="6" t="s">
        <v>12</v>
      </c>
      <c r="F4" s="7" t="s">
        <v>13</v>
      </c>
      <c r="G4" s="6" t="s">
        <v>14</v>
      </c>
      <c r="H4" s="8" t="s">
        <v>15</v>
      </c>
    </row>
    <row r="5" customFormat="false" ht="49.5" hidden="false" customHeight="true" outlineLevel="0" collapsed="false">
      <c r="A5" s="9" t="n">
        <v>2</v>
      </c>
      <c r="B5" s="9" t="s">
        <v>16</v>
      </c>
      <c r="C5" s="10" t="s">
        <v>17</v>
      </c>
      <c r="D5" s="9" t="n">
        <v>1</v>
      </c>
      <c r="E5" s="11" t="s">
        <v>18</v>
      </c>
      <c r="F5" s="11" t="s">
        <v>19</v>
      </c>
      <c r="G5" s="12" t="s">
        <v>13</v>
      </c>
      <c r="H5" s="8" t="s">
        <v>20</v>
      </c>
    </row>
    <row r="6" customFormat="false" ht="49.5" hidden="false" customHeight="true" outlineLevel="0" collapsed="false">
      <c r="A6" s="4" t="n">
        <v>3</v>
      </c>
      <c r="B6" s="4" t="s">
        <v>21</v>
      </c>
      <c r="C6" s="5" t="s">
        <v>22</v>
      </c>
      <c r="D6" s="4" t="n">
        <v>1</v>
      </c>
      <c r="E6" s="6" t="s">
        <v>23</v>
      </c>
      <c r="F6" s="6" t="s">
        <v>24</v>
      </c>
      <c r="G6" s="6" t="s">
        <v>25</v>
      </c>
      <c r="H6" s="8" t="s">
        <v>26</v>
      </c>
    </row>
    <row r="7" customFormat="false" ht="49.5" hidden="false" customHeight="true" outlineLevel="0" collapsed="false">
      <c r="A7" s="9" t="n">
        <v>4</v>
      </c>
      <c r="B7" s="9" t="s">
        <v>27</v>
      </c>
      <c r="C7" s="10" t="s">
        <v>28</v>
      </c>
      <c r="D7" s="9" t="n">
        <v>1</v>
      </c>
      <c r="E7" s="12" t="s">
        <v>13</v>
      </c>
      <c r="F7" s="12" t="s">
        <v>13</v>
      </c>
      <c r="G7" s="11" t="s">
        <v>29</v>
      </c>
      <c r="H7" s="8" t="s">
        <v>30</v>
      </c>
    </row>
    <row r="8" customFormat="false" ht="49.5" hidden="false" customHeight="true" outlineLevel="0" collapsed="false">
      <c r="A8" s="4" t="n">
        <v>5</v>
      </c>
      <c r="B8" s="4" t="s">
        <v>31</v>
      </c>
      <c r="C8" s="5" t="s">
        <v>32</v>
      </c>
      <c r="D8" s="4" t="n">
        <v>1</v>
      </c>
      <c r="E8" s="6" t="s">
        <v>33</v>
      </c>
      <c r="F8" s="6" t="s">
        <v>34</v>
      </c>
      <c r="G8" s="7" t="s">
        <v>13</v>
      </c>
      <c r="H8" s="5"/>
    </row>
    <row r="9" customFormat="false" ht="49.5" hidden="false" customHeight="true" outlineLevel="0" collapsed="false">
      <c r="A9" s="9" t="n">
        <v>6</v>
      </c>
      <c r="B9" s="9" t="s">
        <v>35</v>
      </c>
      <c r="C9" s="10" t="s">
        <v>36</v>
      </c>
      <c r="D9" s="9" t="n">
        <v>1</v>
      </c>
      <c r="E9" s="11" t="s">
        <v>37</v>
      </c>
      <c r="F9" s="11" t="s">
        <v>38</v>
      </c>
      <c r="G9" s="12" t="s">
        <v>13</v>
      </c>
      <c r="H9" s="10"/>
    </row>
    <row r="10" customFormat="false" ht="49.5" hidden="false" customHeight="true" outlineLevel="0" collapsed="false">
      <c r="A10" s="4" t="n">
        <v>7</v>
      </c>
      <c r="B10" s="4" t="s">
        <v>39</v>
      </c>
      <c r="C10" s="5" t="s">
        <v>40</v>
      </c>
      <c r="D10" s="4" t="n">
        <v>1</v>
      </c>
      <c r="E10" s="6" t="s">
        <v>41</v>
      </c>
      <c r="F10" s="6" t="s">
        <v>42</v>
      </c>
      <c r="G10" s="7" t="s">
        <v>13</v>
      </c>
      <c r="H10" s="8" t="s">
        <v>43</v>
      </c>
    </row>
    <row r="11" customFormat="false" ht="49.5" hidden="false" customHeight="true" outlineLevel="0" collapsed="false">
      <c r="A11" s="9" t="n">
        <v>8</v>
      </c>
      <c r="B11" s="9" t="s">
        <v>44</v>
      </c>
      <c r="C11" s="10" t="s">
        <v>45</v>
      </c>
      <c r="D11" s="9" t="n">
        <v>1</v>
      </c>
      <c r="E11" s="11" t="s">
        <v>46</v>
      </c>
      <c r="F11" s="11" t="s">
        <v>47</v>
      </c>
      <c r="G11" s="11" t="s">
        <v>48</v>
      </c>
      <c r="H11" s="8" t="s">
        <v>49</v>
      </c>
    </row>
    <row r="12" customFormat="false" ht="49.5" hidden="false" customHeight="true" outlineLevel="0" collapsed="false">
      <c r="A12" s="4" t="n">
        <v>9</v>
      </c>
      <c r="B12" s="4" t="s">
        <v>50</v>
      </c>
      <c r="C12" s="5" t="s">
        <v>51</v>
      </c>
      <c r="D12" s="4" t="n">
        <v>1</v>
      </c>
      <c r="E12" s="6" t="s">
        <v>52</v>
      </c>
      <c r="F12" s="6" t="s">
        <v>53</v>
      </c>
      <c r="G12" s="7" t="s">
        <v>13</v>
      </c>
      <c r="H12" s="8" t="s">
        <v>54</v>
      </c>
    </row>
    <row r="13" customFormat="false" ht="49.5" hidden="false" customHeight="true" outlineLevel="0" collapsed="false">
      <c r="A13" s="9" t="n">
        <v>10</v>
      </c>
      <c r="B13" s="9" t="s">
        <v>55</v>
      </c>
      <c r="C13" s="10" t="s">
        <v>56</v>
      </c>
      <c r="D13" s="9" t="n">
        <v>1</v>
      </c>
      <c r="E13" s="11" t="s">
        <v>57</v>
      </c>
      <c r="F13" s="11" t="s">
        <v>58</v>
      </c>
      <c r="G13" s="12" t="s">
        <v>13</v>
      </c>
      <c r="H13" s="8" t="s">
        <v>59</v>
      </c>
    </row>
    <row r="14" customFormat="false" ht="49.5" hidden="false" customHeight="true" outlineLevel="0" collapsed="false">
      <c r="A14" s="4" t="n">
        <v>11</v>
      </c>
      <c r="B14" s="4" t="s">
        <v>60</v>
      </c>
      <c r="C14" s="5" t="s">
        <v>61</v>
      </c>
      <c r="D14" s="4" t="n">
        <v>1</v>
      </c>
      <c r="E14" s="6" t="s">
        <v>57</v>
      </c>
      <c r="F14" s="6" t="s">
        <v>58</v>
      </c>
      <c r="G14" s="7" t="s">
        <v>13</v>
      </c>
      <c r="H14" s="8" t="s">
        <v>62</v>
      </c>
    </row>
    <row r="15" customFormat="false" ht="49.5" hidden="false" customHeight="true" outlineLevel="0" collapsed="false">
      <c r="A15" s="9" t="n">
        <v>12</v>
      </c>
      <c r="B15" s="9" t="s">
        <v>63</v>
      </c>
      <c r="C15" s="10" t="s">
        <v>64</v>
      </c>
      <c r="D15" s="9" t="n">
        <v>1</v>
      </c>
      <c r="E15" s="11" t="s">
        <v>65</v>
      </c>
      <c r="F15" s="11" t="s">
        <v>66</v>
      </c>
      <c r="G15" s="12" t="s">
        <v>13</v>
      </c>
      <c r="H15" s="8" t="s">
        <v>67</v>
      </c>
    </row>
    <row r="16" customFormat="false" ht="49.5" hidden="false" customHeight="true" outlineLevel="0" collapsed="false">
      <c r="A16" s="4" t="n">
        <v>13</v>
      </c>
      <c r="B16" s="4" t="s">
        <v>68</v>
      </c>
      <c r="C16" s="5" t="s">
        <v>69</v>
      </c>
      <c r="D16" s="4" t="n">
        <v>1</v>
      </c>
      <c r="E16" s="6" t="s">
        <v>52</v>
      </c>
      <c r="F16" s="6" t="s">
        <v>53</v>
      </c>
      <c r="G16" s="7" t="s">
        <v>13</v>
      </c>
      <c r="H16" s="8" t="s">
        <v>70</v>
      </c>
    </row>
    <row r="17" customFormat="false" ht="49.5" hidden="false" customHeight="true" outlineLevel="0" collapsed="false">
      <c r="A17" s="9" t="n">
        <v>14</v>
      </c>
      <c r="B17" s="9" t="s">
        <v>71</v>
      </c>
      <c r="C17" s="10" t="s">
        <v>72</v>
      </c>
      <c r="D17" s="9" t="n">
        <v>1</v>
      </c>
      <c r="E17" s="11" t="s">
        <v>73</v>
      </c>
      <c r="F17" s="11" t="s">
        <v>74</v>
      </c>
      <c r="G17" s="12" t="s">
        <v>13</v>
      </c>
      <c r="H17" s="8" t="s">
        <v>75</v>
      </c>
    </row>
    <row r="18" customFormat="false" ht="49.5" hidden="false" customHeight="true" outlineLevel="0" collapsed="false">
      <c r="A18" s="4" t="n">
        <v>15</v>
      </c>
      <c r="B18" s="4" t="s">
        <v>76</v>
      </c>
      <c r="C18" s="5" t="s">
        <v>77</v>
      </c>
      <c r="D18" s="4" t="n">
        <v>1</v>
      </c>
      <c r="E18" s="6" t="s">
        <v>73</v>
      </c>
      <c r="F18" s="6" t="s">
        <v>74</v>
      </c>
      <c r="G18" s="7" t="s">
        <v>13</v>
      </c>
      <c r="H18" s="8" t="s">
        <v>78</v>
      </c>
    </row>
    <row r="19" customFormat="false" ht="49.5" hidden="false" customHeight="true" outlineLevel="0" collapsed="false">
      <c r="A19" s="9" t="n">
        <v>16</v>
      </c>
      <c r="B19" s="9" t="s">
        <v>79</v>
      </c>
      <c r="C19" s="10" t="s">
        <v>80</v>
      </c>
      <c r="D19" s="9" t="n">
        <v>1</v>
      </c>
      <c r="E19" s="11" t="s">
        <v>81</v>
      </c>
      <c r="F19" s="11" t="s">
        <v>82</v>
      </c>
      <c r="G19" s="12" t="s">
        <v>13</v>
      </c>
      <c r="H19" s="10"/>
    </row>
    <row r="20" customFormat="false" ht="49.5" hidden="false" customHeight="true" outlineLevel="0" collapsed="false">
      <c r="A20" s="4" t="n">
        <v>17</v>
      </c>
      <c r="B20" s="4" t="s">
        <v>83</v>
      </c>
      <c r="C20" s="5" t="s">
        <v>84</v>
      </c>
      <c r="D20" s="4" t="n">
        <v>1</v>
      </c>
      <c r="E20" s="6" t="s">
        <v>73</v>
      </c>
      <c r="F20" s="6" t="s">
        <v>74</v>
      </c>
      <c r="G20" s="7" t="s">
        <v>13</v>
      </c>
      <c r="H20" s="8" t="s">
        <v>85</v>
      </c>
    </row>
    <row r="21" customFormat="false" ht="49.5" hidden="false" customHeight="true" outlineLevel="0" collapsed="false">
      <c r="A21" s="9" t="n">
        <v>18</v>
      </c>
      <c r="B21" s="9" t="s">
        <v>86</v>
      </c>
      <c r="C21" s="10" t="s">
        <v>87</v>
      </c>
      <c r="D21" s="9" t="n">
        <v>25</v>
      </c>
      <c r="E21" s="11" t="s">
        <v>88</v>
      </c>
      <c r="F21" s="11" t="s">
        <v>89</v>
      </c>
      <c r="G21" s="12" t="s">
        <v>13</v>
      </c>
      <c r="H21" s="8" t="s">
        <v>90</v>
      </c>
    </row>
    <row r="22" customFormat="false" ht="49.5" hidden="false" customHeight="true" outlineLevel="0" collapsed="false">
      <c r="A22" s="4" t="n">
        <v>19</v>
      </c>
      <c r="B22" s="4" t="s">
        <v>91</v>
      </c>
      <c r="C22" s="5" t="s">
        <v>92</v>
      </c>
      <c r="D22" s="4" t="n">
        <v>1</v>
      </c>
      <c r="E22" s="6" t="s">
        <v>93</v>
      </c>
      <c r="F22" s="7" t="s">
        <v>13</v>
      </c>
      <c r="G22" s="6" t="s">
        <v>88</v>
      </c>
      <c r="H22" s="8" t="s">
        <v>94</v>
      </c>
    </row>
    <row r="23" customFormat="false" ht="49.5" hidden="false" customHeight="true" outlineLevel="0" collapsed="false">
      <c r="A23" s="9" t="n">
        <v>20</v>
      </c>
      <c r="B23" s="9" t="s">
        <v>95</v>
      </c>
      <c r="C23" s="10" t="s">
        <v>96</v>
      </c>
      <c r="D23" s="9" t="n">
        <v>1</v>
      </c>
      <c r="E23" s="11" t="s">
        <v>88</v>
      </c>
      <c r="F23" s="11" t="s">
        <v>89</v>
      </c>
      <c r="G23" s="12" t="s">
        <v>13</v>
      </c>
      <c r="H23" s="8" t="s">
        <v>97</v>
      </c>
    </row>
    <row r="24" customFormat="false" ht="21.75" hidden="false" customHeight="true" outlineLevel="0" collapsed="false">
      <c r="A24" s="3" t="s">
        <v>98</v>
      </c>
      <c r="B24" s="3"/>
      <c r="C24" s="3"/>
      <c r="D24" s="3" t="str">
        <f aca="false">SUM(D4:D23)</f>
        <v>44</v>
      </c>
      <c r="E24" s="13" t="s">
        <v>99</v>
      </c>
      <c r="F24" s="13"/>
      <c r="G24" s="13"/>
      <c r="H24" s="13"/>
    </row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</sheetData>
  <mergeCells count="4">
    <mergeCell ref="A1:H1"/>
    <mergeCell ref="A2:H2"/>
    <mergeCell ref="A24:C24"/>
    <mergeCell ref="E24:H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LibreOffice/25.2.0.3$Linux_X86_64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2026-03-24T03:27:21Z</dcterms:created>
  <dc:creator>openpyxl</dc:creator>
  <dc:description/>
  <dc:language>en-US</dc:language>
  <cp:lastModifiedBy/>
  <dcterms:modified xsi:type="dcterms:W3CDTF">2026-03-24T03:27:21Z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